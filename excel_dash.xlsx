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oba\Documents\DEV\2. VBA\excel-dashboard\"/>
    </mc:Choice>
  </mc:AlternateContent>
  <xr:revisionPtr revIDLastSave="0" documentId="8_{18756071-DA9B-4963-9450-E04B3D418CEF}" xr6:coauthVersionLast="47" xr6:coauthVersionMax="47" xr10:uidLastSave="{00000000-0000-0000-0000-000000000000}"/>
  <bookViews>
    <workbookView xWindow="-108" yWindow="-108" windowWidth="23256" windowHeight="12720" xr2:uid="{07E573B0-5F26-4E2B-96B5-ED98B1F5AB27}"/>
  </bookViews>
  <sheets>
    <sheet name="Dashboard" sheetId="1" r:id="rId1"/>
    <sheet name="Settings" sheetId="2" r:id="rId2"/>
    <sheet name="DataJunker15" sheetId="3" r:id="rId3"/>
    <sheet name="DataPrawema213" sheetId="4" r:id="rId4"/>
    <sheet name="DataHennAuto218" sheetId="5" r:id="rId5"/>
  </sheets>
  <definedNames>
    <definedName name="ExternalData_1" localSheetId="4" hidden="1">DataHennAuto218!$A$1:$E$8</definedName>
    <definedName name="ExternalData_1" localSheetId="2" hidden="1">DataJunker15!$A$1:$E$9</definedName>
    <definedName name="ExternalData_1" localSheetId="3" hidden="1">DataPrawema213!$A$1:$E$3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10" i="1"/>
  <c r="P10" i="1" s="1"/>
  <c r="N8" i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10" i="1"/>
  <c r="K10" i="1" s="1"/>
  <c r="I8" i="1"/>
  <c r="D8" i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10" i="1"/>
  <c r="F10" i="1" s="1"/>
  <c r="R2" i="2" a="1"/>
  <c r="R2" i="2" s="1"/>
  <c r="Q2" i="2" a="1"/>
  <c r="Q2" i="2" s="1"/>
  <c r="P2" i="2" a="1"/>
  <c r="P2" i="2" s="1"/>
  <c r="P22" i="1" l="1"/>
  <c r="K22" i="1"/>
  <c r="F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0881F-386F-43B1-A332-5648631D5470}" keepAlive="1" name="Query - HennAuto218" description="Connection to the 'HennAuto218' query in the workbook." type="5" refreshedVersion="7" background="1" saveData="1">
    <dbPr connection="Provider=Microsoft.Mashup.OleDb.1;Data Source=$Workbook$;Location=HennAuto218;Extended Properties=&quot;&quot;" command="SELECT * FROM [HennAuto218]"/>
  </connection>
  <connection id="2" xr16:uid="{0699103E-DB41-4E44-AE91-533827261F20}" keepAlive="1" name="Query - Junker15" description="Connection to the 'Junker15' query in the workbook." type="5" refreshedVersion="7" background="1" saveData="1">
    <dbPr connection="Provider=Microsoft.Mashup.OleDb.1;Data Source=$Workbook$;Location=Junker15;Extended Properties=&quot;&quot;" command="SELECT * FROM [Junker15]"/>
  </connection>
  <connection id="3" xr16:uid="{7E352DC8-8EEF-471A-B30C-952B54825722}" keepAlive="1" name="Query - Prawema213" description="Connection to the 'Prawema213' query in the workbook." type="5" refreshedVersion="7" background="1" saveData="1">
    <dbPr connection="Provider=Microsoft.Mashup.OleDb.1;Data Source=$Workbook$;Location=Prawema213;Extended Properties=&quot;&quot;" command="SELECT * FROM [Prawema21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<sst xmlns="http://schemas.openxmlformats.org/spreadsheetml/2006/main" count="94" uniqueCount="41">
  <si>
    <t>Dashboard Name</t>
  </si>
  <si>
    <t>General Settings</t>
  </si>
  <si>
    <t>Ranni smena od</t>
  </si>
  <si>
    <t>Ranni smena do</t>
  </si>
  <si>
    <t>Nocni smena od</t>
  </si>
  <si>
    <t>Nocni smena do</t>
  </si>
  <si>
    <t>Vyrobni Dashboard</t>
  </si>
  <si>
    <t>Interval Ranni</t>
  </si>
  <si>
    <t>Interval Nocni</t>
  </si>
  <si>
    <t>SourceID</t>
  </si>
  <si>
    <t>SourceName</t>
  </si>
  <si>
    <t>FilePath</t>
  </si>
  <si>
    <t>SRC1</t>
  </si>
  <si>
    <t>SRC2</t>
  </si>
  <si>
    <t>SRC3</t>
  </si>
  <si>
    <t>Value</t>
  </si>
  <si>
    <t>Visible</t>
  </si>
  <si>
    <t>DatumSmeny</t>
  </si>
  <si>
    <t>Smena</t>
  </si>
  <si>
    <t>Interval</t>
  </si>
  <si>
    <t>Pocet</t>
  </si>
  <si>
    <t>Nocni</t>
  </si>
  <si>
    <t>Ranni</t>
  </si>
  <si>
    <t>ID_Smeny</t>
  </si>
  <si>
    <t>13.09.26_Nocni</t>
  </si>
  <si>
    <t>14.09.26_Ranni</t>
  </si>
  <si>
    <t>14.09.26_Nocni</t>
  </si>
  <si>
    <t>Celkem</t>
  </si>
  <si>
    <t>SRC1_ShiftID_List</t>
  </si>
  <si>
    <t>DataTable</t>
  </si>
  <si>
    <t>SRC2_ShiftID_List</t>
  </si>
  <si>
    <t>SRC3_ShiftID_List</t>
  </si>
  <si>
    <t>C:\Users\aboba\Documents\DEV\2. VBA\excel-dashboard\Test213.csv</t>
  </si>
  <si>
    <t>Junker15</t>
  </si>
  <si>
    <t>Prawema213</t>
  </si>
  <si>
    <t>HennAuto218</t>
  </si>
  <si>
    <t>C:\Users\aboba\Documents\DEV\2. VBA\excel-dashboard\Prawema213.csv</t>
  </si>
  <si>
    <t>C:\Users\aboba\Documents\DEV\2. VBA\excel-dashboard\HennAuto218.csv</t>
  </si>
  <si>
    <t>Junker 15</t>
  </si>
  <si>
    <t>Prawema 213</t>
  </si>
  <si>
    <t>HennAuto 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</si>
</sst>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 Unicode MS"/>
    </font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6"/>
      <color theme="1"/>
      <name val="Segoe UI"/>
      <family val="2"/>
      <charset val="204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2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0" fontId="4" fillId="0" borderId="0" xfId="0" applyFo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3" borderId="0" xfId="1" applyFill="1"/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1" xfId="0" applyFont="1" applyFill="1" applyBorder="1"/>
    <xf numFmtId="0" fontId="4" fillId="4" borderId="2" xfId="0" applyFont="1" applyFill="1" applyBorder="1"/>
    <xf numFmtId="0" fontId="5" fillId="4" borderId="3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 textRotation="90"/>
    </xf>
  </cellXfs>
  <cellStyles count="2">
    <cellStyle name="20% - Accent1" xfId="1" builtinId="30"/>
    <cellStyle name="Normal" xfId="0" builtinId="0"/>
  </cellStyles>
  <dxfs count="1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6</xdr:col>
          <xdr:colOff>0</xdr:colOff>
          <xdr:row>5</xdr:row>
          <xdr:rowOff>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Aktualizovat data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841C76-08DB-422A-88A3-8AFB7F37E918}" autoFormatId="16" applyNumberFormats="0" applyBorderFormats="0" applyFontFormats="0" applyPatternFormats="0" applyAlignmentFormats="0" applyWidthHeightFormats="0">
  <queryTableRefresh nextId="7">
    <queryTableFields count="5">
      <queryTableField id="5" name="ID_Smeny" tableColumnId="5"/>
      <queryTableField id="1" name="DatumSmeny" tableColumnId="1"/>
      <queryTableField id="2" name="Smena" tableColumnId="2"/>
      <queryTableField id="3" name="Interval" tableColumnId="3"/>
      <queryTableField id="4" name="Poce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AE79F2-165E-4D28-B1B0-45AB0E507186}" autoFormatId="16" applyNumberFormats="0" applyBorderFormats="0" applyFontFormats="0" applyPatternFormats="0" applyAlignmentFormats="0" applyWidthHeightFormats="0">
  <queryTableRefresh nextId="6">
    <queryTableFields count="5">
      <queryTableField id="1" name="ID_Smeny" tableColumnId="1"/>
      <queryTableField id="2" name="DatumSmeny" tableColumnId="2"/>
      <queryTableField id="3" name="Smena" tableColumnId="3"/>
      <queryTableField id="4" name="Interval" tableColumnId="4"/>
      <queryTableField id="5" name="Poce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2CDC47-EDF1-4DF3-AAEC-F21F18A0231A}" autoFormatId="16" applyNumberFormats="0" applyBorderFormats="0" applyFontFormats="0" applyPatternFormats="0" applyAlignmentFormats="0" applyWidthHeightFormats="0">
  <queryTableRefresh nextId="6">
    <queryTableFields count="5">
      <queryTableField id="1" name="ID_Smeny" tableColumnId="1"/>
      <queryTableField id="2" name="DatumSmeny" tableColumnId="2"/>
      <queryTableField id="3" name="Smena" tableColumnId="3"/>
      <queryTableField id="4" name="Interval" tableColumnId="4"/>
      <queryTableField id="5" name="Poce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39F1A-FD25-46FF-81FA-AA23701F5C06}" name="SourcesList" displayName="SourcesList" ref="H1:L4" totalsRowShown="0" headerRowDxfId="15" dataDxfId="14">
  <autoFilter ref="H1:L4" xr:uid="{87539F1A-FD25-46FF-81FA-AA23701F5C06}"/>
  <tableColumns count="5">
    <tableColumn id="1" xr3:uid="{EB7B7EF1-A194-4850-B791-A5F16DAB97FE}" name="SourceID" dataDxfId="13"/>
    <tableColumn id="2" xr3:uid="{31523505-BF11-4BAD-BCBE-ABA2F481FDFB}" name="SourceName" dataDxfId="12"/>
    <tableColumn id="3" xr3:uid="{415BC130-91E5-44B6-BB4B-D5FF501D800E}" name="FilePath" dataDxfId="11"/>
    <tableColumn id="5" xr3:uid="{9B610DF2-00F2-41DC-957E-090ACC805630}" name="DataTable" dataDxfId="10"/>
    <tableColumn id="4" xr3:uid="{4F789F0F-6E14-4173-B1C0-B19D2910A245}" name="Visibl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001BA-A1E8-4218-AB43-2C48A81FF994}" name="Junker15" displayName="Junker15" ref="A1:E9" tableType="queryTable" totalsRowShown="0">
  <autoFilter ref="A1:E9" xr:uid="{B1D001BA-A1E8-4218-AB43-2C48A81FF994}"/>
  <tableColumns count="5">
    <tableColumn id="5" xr3:uid="{5367AA15-43D1-444A-AB10-A97C9F656522}" uniqueName="5" name="ID_Smeny" queryTableFieldId="5" dataDxfId="8"/>
    <tableColumn id="1" xr3:uid="{624ABFCB-346D-4328-9CAD-197A7CB0D88C}" uniqueName="1" name="DatumSmeny" queryTableFieldId="1" dataDxfId="7"/>
    <tableColumn id="2" xr3:uid="{6465EE37-FFB2-4BBC-8AC9-75FF7D205021}" uniqueName="2" name="Smena" queryTableFieldId="2" dataDxfId="6"/>
    <tableColumn id="3" xr3:uid="{183713A8-D0DE-4E12-B1E8-CC968805C647}" uniqueName="3" name="Interval" queryTableFieldId="3"/>
    <tableColumn id="4" xr3:uid="{14B3930C-FA24-47AA-9C65-0290AC91CBD1}" uniqueName="4" name="Poce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323459-DACD-497F-B438-462D36E9497B}" name="Prawema213" displayName="Prawema213" ref="A1:E3" tableType="queryTable" totalsRowShown="0">
  <autoFilter ref="A1:E3" xr:uid="{11323459-DACD-497F-B438-462D36E9497B}"/>
  <tableColumns count="5">
    <tableColumn id="1" xr3:uid="{CCC4AFF6-4342-4EAE-9358-84F5FFCC64A3}" uniqueName="1" name="ID_Smeny" queryTableFieldId="1" dataDxfId="5"/>
    <tableColumn id="2" xr3:uid="{E09BD537-43A3-45EF-A6B1-7758E93B0C7B}" uniqueName="2" name="DatumSmeny" queryTableFieldId="2" dataDxfId="4"/>
    <tableColumn id="3" xr3:uid="{33739E7E-7AE2-41E3-896E-D7D6E192F5A9}" uniqueName="3" name="Smena" queryTableFieldId="3" dataDxfId="3"/>
    <tableColumn id="4" xr3:uid="{48E3619E-FC81-40CA-B6F0-76A7B920D90A}" uniqueName="4" name="Interval" queryTableFieldId="4"/>
    <tableColumn id="5" xr3:uid="{280793AF-74C0-4426-9D45-A00A9F959B08}" uniqueName="5" name="Poce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EF4375-C2F7-49E1-95CB-7DE5F2884F1E}" name="HennAuto218" displayName="HennAuto218" ref="A1:E8" tableType="queryTable" totalsRowShown="0">
  <autoFilter ref="A1:E8" xr:uid="{31EF4375-C2F7-49E1-95CB-7DE5F2884F1E}"/>
  <tableColumns count="5">
    <tableColumn id="1" xr3:uid="{78EBC169-4C4A-4590-A227-03BE14E534B3}" uniqueName="1" name="ID_Smeny" queryTableFieldId="1" dataDxfId="2"/>
    <tableColumn id="2" xr3:uid="{5A68B749-D905-492A-A015-A3FE9C7EE130}" uniqueName="2" name="DatumSmeny" queryTableFieldId="2" dataDxfId="1"/>
    <tableColumn id="3" xr3:uid="{6782D321-68E9-4577-93CC-9C93181D8D64}" uniqueName="3" name="Smena" queryTableFieldId="3" dataDxfId="0"/>
    <tableColumn id="4" xr3:uid="{CBB1CD44-FE3D-427D-812C-4F31F4283CC4}" uniqueName="4" name="Interval" queryTableFieldId="4"/>
    <tableColumn id="5" xr3:uid="{D1CC0246-E780-4840-9C96-155BEDCE1AFA}" uniqueName="5" name="Poce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F48-D636-49FD-91B3-F77D8991B2D2}">
  <sheetPr codeName="Sheet1"/>
  <dimension ref="D6:T22"/>
  <sheetViews>
    <sheetView showGridLines="0" showRowColHeaders="0" tabSelected="1" workbookViewId="0">
      <selection activeCell="K6" sqref="K6"/>
    </sheetView>
  </sheetViews>
  <sheetFormatPr defaultRowHeight="16.8"/>
  <cols>
    <col min="1" max="4" width="8.88671875" style="8"/>
    <col min="5" max="5" width="9.77734375" style="8" bestFit="1" customWidth="1"/>
    <col min="6" max="6" width="14.5546875" style="8" bestFit="1" customWidth="1"/>
    <col min="7" max="9" width="8.88671875" style="8"/>
    <col min="10" max="10" width="9.77734375" style="8" bestFit="1" customWidth="1"/>
    <col min="11" max="11" width="14.5546875" style="8" bestFit="1" customWidth="1"/>
    <col min="12" max="14" width="8.88671875" style="8"/>
    <col min="15" max="15" width="9.77734375" style="8" bestFit="1" customWidth="1"/>
    <col min="16" max="16" width="14.33203125" style="8" bestFit="1" customWidth="1"/>
    <col min="17" max="16384" width="8.88671875" style="8"/>
  </cols>
  <sheetData>
    <row r="6" spans="4:20">
      <c r="T6" s="13"/>
    </row>
    <row r="7" spans="4:20" ht="17.399999999999999" thickBot="1">
      <c r="T7" s="13"/>
    </row>
    <row r="8" spans="4:20">
      <c r="D8" s="29" t="str">
        <f>Settings!$I2</f>
        <v>Junker 15</v>
      </c>
      <c r="E8" s="22" t="s">
        <v>23</v>
      </c>
      <c r="F8" s="23" t="s">
        <v>26</v>
      </c>
      <c r="I8" s="29" t="str">
        <f>Settings!$I3</f>
        <v>Prawema 213</v>
      </c>
      <c r="J8" s="24" t="s">
        <v>23</v>
      </c>
      <c r="K8" s="23" t="s">
        <v>24</v>
      </c>
      <c r="N8" s="29" t="str">
        <f>Settings!$I4</f>
        <v>HennAuto 218</v>
      </c>
      <c r="O8" s="24" t="s">
        <v>23</v>
      </c>
      <c r="P8" s="23" t="s">
        <v>25</v>
      </c>
      <c r="T8" s="13"/>
    </row>
    <row r="9" spans="4:20" ht="14.4" customHeight="1" thickBot="1">
      <c r="D9" s="30"/>
      <c r="E9" s="18" t="s">
        <v>19</v>
      </c>
      <c r="F9" s="11" t="s">
        <v>20</v>
      </c>
      <c r="I9" s="30"/>
      <c r="J9" s="25" t="s">
        <v>19</v>
      </c>
      <c r="K9" s="11" t="s">
        <v>20</v>
      </c>
      <c r="N9" s="30"/>
      <c r="O9" s="25" t="s">
        <v>19</v>
      </c>
      <c r="P9" s="11" t="s">
        <v>20</v>
      </c>
      <c r="T9" s="13"/>
    </row>
    <row r="10" spans="4:20">
      <c r="D10" s="30"/>
      <c r="E10" s="16">
        <f>IF(RIGHT($F$8,5)="Ranni",Settings!$C2,Settings!$D2)</f>
        <v>19</v>
      </c>
      <c r="F10" s="14">
        <f>SUMIFS(Junker15[Pocet],Junker15[ID_Smeny],$F$8,Junker15[Interval],E10)</f>
        <v>0</v>
      </c>
      <c r="I10" s="30"/>
      <c r="J10" s="20">
        <f>IF(RIGHT($K$8,5)="Ranni",Settings!$C2,Settings!$D2)</f>
        <v>19</v>
      </c>
      <c r="K10" s="21">
        <f>SUMIFS(Prawema213[Pocet],Prawema213[ID_Smeny],$K$8,Prawema213[Interval],J10)</f>
        <v>0</v>
      </c>
      <c r="N10" s="30"/>
      <c r="O10" s="20">
        <f>IF(RIGHT($P$8,5)="Ranni",Settings!$C2,Settings!$D2)</f>
        <v>7</v>
      </c>
      <c r="P10" s="21">
        <f>SUMIFS(HennAuto218[Pocet],HennAuto218[ID_Smeny],$P$8,HennAuto218[Interval],O10)</f>
        <v>1</v>
      </c>
      <c r="T10" s="13"/>
    </row>
    <row r="11" spans="4:20">
      <c r="D11" s="30"/>
      <c r="E11" s="17">
        <f>IF(RIGHT($F$8,5)="Ranni",Settings!$C3,Settings!$D3)</f>
        <v>20</v>
      </c>
      <c r="F11" s="10">
        <f>SUMIFS(Junker15[Pocet],Junker15[ID_Smeny],$F$8,Junker15[Interval],E11)</f>
        <v>0</v>
      </c>
      <c r="I11" s="30"/>
      <c r="J11" s="19">
        <f>IF(RIGHT($K$8,5)="Ranni",Settings!$C3,Settings!$D3)</f>
        <v>20</v>
      </c>
      <c r="K11" s="9">
        <f>SUMIFS(Prawema213[Pocet],Prawema213[ID_Smeny],$K$8,Prawema213[Interval],J11)</f>
        <v>0</v>
      </c>
      <c r="N11" s="30"/>
      <c r="O11" s="19">
        <f>IF(RIGHT($P$8,5)="Ranni",Settings!$C3,Settings!$D3)</f>
        <v>8</v>
      </c>
      <c r="P11" s="9">
        <f>SUMIFS(HennAuto218[Pocet],HennAuto218[ID_Smeny],$P$8,HennAuto218[Interval],O11)</f>
        <v>1</v>
      </c>
      <c r="T11" s="13"/>
    </row>
    <row r="12" spans="4:20">
      <c r="D12" s="30"/>
      <c r="E12" s="17">
        <f>IF(RIGHT($F$8,5)="Ranni",Settings!$C4,Settings!$D4)</f>
        <v>21</v>
      </c>
      <c r="F12" s="10">
        <f>SUMIFS(Junker15[Pocet],Junker15[ID_Smeny],$F$8,Junker15[Interval],E12)</f>
        <v>5</v>
      </c>
      <c r="I12" s="30"/>
      <c r="J12" s="19">
        <f>IF(RIGHT($K$8,5)="Ranni",Settings!$C4,Settings!$D4)</f>
        <v>21</v>
      </c>
      <c r="K12" s="9">
        <f>SUMIFS(Prawema213[Pocet],Prawema213[ID_Smeny],$K$8,Prawema213[Interval],J12)</f>
        <v>0</v>
      </c>
      <c r="N12" s="30"/>
      <c r="O12" s="19">
        <f>IF(RIGHT($P$8,5)="Ranni",Settings!$C4,Settings!$D4)</f>
        <v>9</v>
      </c>
      <c r="P12" s="9">
        <f>SUMIFS(HennAuto218[Pocet],HennAuto218[ID_Smeny],$P$8,HennAuto218[Interval],O12)</f>
        <v>0</v>
      </c>
      <c r="T12" s="13"/>
    </row>
    <row r="13" spans="4:20">
      <c r="D13" s="30"/>
      <c r="E13" s="17">
        <f>IF(RIGHT($F$8,5)="Ranni",Settings!$C5,Settings!$D5)</f>
        <v>22</v>
      </c>
      <c r="F13" s="10">
        <f>SUMIFS(Junker15[Pocet],Junker15[ID_Smeny],$F$8,Junker15[Interval],E13)</f>
        <v>0</v>
      </c>
      <c r="I13" s="30"/>
      <c r="J13" s="19">
        <f>IF(RIGHT($K$8,5)="Ranni",Settings!$C5,Settings!$D5)</f>
        <v>22</v>
      </c>
      <c r="K13" s="9">
        <f>SUMIFS(Prawema213[Pocet],Prawema213[ID_Smeny],$K$8,Prawema213[Interval],J13)</f>
        <v>0</v>
      </c>
      <c r="N13" s="30"/>
      <c r="O13" s="19">
        <f>IF(RIGHT($P$8,5)="Ranni",Settings!$C5,Settings!$D5)</f>
        <v>10</v>
      </c>
      <c r="P13" s="9">
        <f>SUMIFS(HennAuto218[Pocet],HennAuto218[ID_Smeny],$P$8,HennAuto218[Interval],O13)</f>
        <v>0</v>
      </c>
      <c r="T13" s="13"/>
    </row>
    <row r="14" spans="4:20">
      <c r="D14" s="30"/>
      <c r="E14" s="17">
        <f>IF(RIGHT($F$8,5)="Ranni",Settings!$C6,Settings!$D6)</f>
        <v>23</v>
      </c>
      <c r="F14" s="10">
        <f>SUMIFS(Junker15[Pocet],Junker15[ID_Smeny],$F$8,Junker15[Interval],E14)</f>
        <v>0</v>
      </c>
      <c r="I14" s="30"/>
      <c r="J14" s="19">
        <f>IF(RIGHT($K$8,5)="Ranni",Settings!$C6,Settings!$D6)</f>
        <v>23</v>
      </c>
      <c r="K14" s="9">
        <f>SUMIFS(Prawema213[Pocet],Prawema213[ID_Smeny],$K$8,Prawema213[Interval],J14)</f>
        <v>0</v>
      </c>
      <c r="N14" s="30"/>
      <c r="O14" s="19">
        <f>IF(RIGHT($P$8,5)="Ranni",Settings!$C6,Settings!$D6)</f>
        <v>11</v>
      </c>
      <c r="P14" s="9">
        <f>SUMIFS(HennAuto218[Pocet],HennAuto218[ID_Smeny],$P$8,HennAuto218[Interval],O14)</f>
        <v>1</v>
      </c>
    </row>
    <row r="15" spans="4:20">
      <c r="D15" s="30"/>
      <c r="E15" s="17">
        <f>IF(RIGHT($F$8,5)="Ranni",Settings!$C7,Settings!$D7)</f>
        <v>0</v>
      </c>
      <c r="F15" s="10">
        <f>SUMIFS(Junker15[Pocet],Junker15[ID_Smeny],$F$8,Junker15[Interval],E15)</f>
        <v>0</v>
      </c>
      <c r="I15" s="30"/>
      <c r="J15" s="19">
        <f>IF(RIGHT($K$8,5)="Ranni",Settings!$C7,Settings!$D7)</f>
        <v>0</v>
      </c>
      <c r="K15" s="9">
        <f>SUMIFS(Prawema213[Pocet],Prawema213[ID_Smeny],$K$8,Prawema213[Interval],J15)</f>
        <v>0</v>
      </c>
      <c r="N15" s="30"/>
      <c r="O15" s="19">
        <f>IF(RIGHT($P$8,5)="Ranni",Settings!$C7,Settings!$D7)</f>
        <v>12</v>
      </c>
      <c r="P15" s="9">
        <f>SUMIFS(HennAuto218[Pocet],HennAuto218[ID_Smeny],$P$8,HennAuto218[Interval],O15)</f>
        <v>0</v>
      </c>
    </row>
    <row r="16" spans="4:20">
      <c r="D16" s="30"/>
      <c r="E16" s="17">
        <f>IF(RIGHT($F$8,5)="Ranni",Settings!$C8,Settings!$D8)</f>
        <v>1</v>
      </c>
      <c r="F16" s="10">
        <f>SUMIFS(Junker15[Pocet],Junker15[ID_Smeny],$F$8,Junker15[Interval],E16)</f>
        <v>0</v>
      </c>
      <c r="I16" s="30"/>
      <c r="J16" s="19">
        <f>IF(RIGHT($K$8,5)="Ranni",Settings!$C8,Settings!$D8)</f>
        <v>1</v>
      </c>
      <c r="K16" s="9">
        <f>SUMIFS(Prawema213[Pocet],Prawema213[ID_Smeny],$K$8,Prawema213[Interval],J16)</f>
        <v>7</v>
      </c>
      <c r="N16" s="30"/>
      <c r="O16" s="19">
        <f>IF(RIGHT($P$8,5)="Ranni",Settings!$C8,Settings!$D8)</f>
        <v>13</v>
      </c>
      <c r="P16" s="9">
        <f>SUMIFS(HennAuto218[Pocet],HennAuto218[ID_Smeny],$P$8,HennAuto218[Interval],O16)</f>
        <v>0</v>
      </c>
    </row>
    <row r="17" spans="4:16">
      <c r="D17" s="30"/>
      <c r="E17" s="17">
        <f>IF(RIGHT($F$8,5)="Ranni",Settings!$C9,Settings!$D9)</f>
        <v>2</v>
      </c>
      <c r="F17" s="10">
        <f>SUMIFS(Junker15[Pocet],Junker15[ID_Smeny],$F$8,Junker15[Interval],E17)</f>
        <v>0</v>
      </c>
      <c r="I17" s="30"/>
      <c r="J17" s="19">
        <f>IF(RIGHT($K$8,5)="Ranni",Settings!$C9,Settings!$D9)</f>
        <v>2</v>
      </c>
      <c r="K17" s="9">
        <f>SUMIFS(Prawema213[Pocet],Prawema213[ID_Smeny],$K$8,Prawema213[Interval],J17)</f>
        <v>0</v>
      </c>
      <c r="N17" s="30"/>
      <c r="O17" s="19">
        <f>IF(RIGHT($P$8,5)="Ranni",Settings!$C9,Settings!$D9)</f>
        <v>14</v>
      </c>
      <c r="P17" s="9">
        <f>SUMIFS(HennAuto218[Pocet],HennAuto218[ID_Smeny],$P$8,HennAuto218[Interval],O17)</f>
        <v>1</v>
      </c>
    </row>
    <row r="18" spans="4:16">
      <c r="D18" s="30"/>
      <c r="E18" s="17">
        <f>IF(RIGHT($F$8,5)="Ranni",Settings!$C10,Settings!$D10)</f>
        <v>3</v>
      </c>
      <c r="F18" s="10">
        <f>SUMIFS(Junker15[Pocet],Junker15[ID_Smeny],$F$8,Junker15[Interval],E18)</f>
        <v>0</v>
      </c>
      <c r="I18" s="30"/>
      <c r="J18" s="19">
        <f>IF(RIGHT($K$8,5)="Ranni",Settings!$C10,Settings!$D10)</f>
        <v>3</v>
      </c>
      <c r="K18" s="9">
        <f>SUMIFS(Prawema213[Pocet],Prawema213[ID_Smeny],$K$8,Prawema213[Interval],J18)</f>
        <v>0</v>
      </c>
      <c r="N18" s="30"/>
      <c r="O18" s="19">
        <f>IF(RIGHT($P$8,5)="Ranni",Settings!$C10,Settings!$D10)</f>
        <v>15</v>
      </c>
      <c r="P18" s="9">
        <f>SUMIFS(HennAuto218[Pocet],HennAuto218[ID_Smeny],$P$8,HennAuto218[Interval],O18)</f>
        <v>1</v>
      </c>
    </row>
    <row r="19" spans="4:16">
      <c r="D19" s="30"/>
      <c r="E19" s="17">
        <f>IF(RIGHT($F$8,5)="Ranni",Settings!$C11,Settings!$D11)</f>
        <v>4</v>
      </c>
      <c r="F19" s="10">
        <f>SUMIFS(Junker15[Pocet],Junker15[ID_Smeny],$F$8,Junker15[Interval],E19)</f>
        <v>0</v>
      </c>
      <c r="I19" s="30"/>
      <c r="J19" s="19">
        <f>IF(RIGHT($K$8,5)="Ranni",Settings!$C11,Settings!$D11)</f>
        <v>4</v>
      </c>
      <c r="K19" s="9">
        <f>SUMIFS(Prawema213[Pocet],Prawema213[ID_Smeny],$K$8,Prawema213[Interval],J19)</f>
        <v>0</v>
      </c>
      <c r="N19" s="30"/>
      <c r="O19" s="19">
        <f>IF(RIGHT($P$8,5)="Ranni",Settings!$C11,Settings!$D11)</f>
        <v>16</v>
      </c>
      <c r="P19" s="9">
        <f>SUMIFS(HennAuto218[Pocet],HennAuto218[ID_Smeny],$P$8,HennAuto218[Interval],O19)</f>
        <v>1</v>
      </c>
    </row>
    <row r="20" spans="4:16">
      <c r="D20" s="30"/>
      <c r="E20" s="17">
        <f>IF(RIGHT($F$8,5)="Ranni",Settings!$C12,Settings!$D12)</f>
        <v>5</v>
      </c>
      <c r="F20" s="10">
        <f>SUMIFS(Junker15[Pocet],Junker15[ID_Smeny],$F$8,Junker15[Interval],E20)</f>
        <v>0</v>
      </c>
      <c r="I20" s="30"/>
      <c r="J20" s="19">
        <f>IF(RIGHT($K$8,5)="Ranni",Settings!$C12,Settings!$D12)</f>
        <v>5</v>
      </c>
      <c r="K20" s="9">
        <f>SUMIFS(Prawema213[Pocet],Prawema213[ID_Smeny],$K$8,Prawema213[Interval],J20)</f>
        <v>0</v>
      </c>
      <c r="N20" s="30"/>
      <c r="O20" s="19">
        <f>IF(RIGHT($P$8,5)="Ranni",Settings!$C12,Settings!$D12)</f>
        <v>17</v>
      </c>
      <c r="P20" s="9">
        <f>SUMIFS(HennAuto218[Pocet],HennAuto218[ID_Smeny],$P$8,HennAuto218[Interval],O20)</f>
        <v>0</v>
      </c>
    </row>
    <row r="21" spans="4:16" ht="17.399999999999999" thickBot="1">
      <c r="D21" s="31"/>
      <c r="E21" s="18">
        <f>IF(RIGHT($F$8,5)="Ranni",Settings!$C13,Settings!$D13)</f>
        <v>6</v>
      </c>
      <c r="F21" s="11">
        <f>SUMIFS(Junker15[Pocet],Junker15[ID_Smeny],$F$8,Junker15[Interval],E21)</f>
        <v>0</v>
      </c>
      <c r="I21" s="31"/>
      <c r="J21" s="15">
        <f>IF(RIGHT($K$8,5)="Ranni",Settings!$C13,Settings!$D13)</f>
        <v>6</v>
      </c>
      <c r="K21" s="12">
        <f>SUMIFS(Prawema213[Pocet],Prawema213[ID_Smeny],$K$8,Prawema213[Interval],J21)</f>
        <v>0</v>
      </c>
      <c r="N21" s="31"/>
      <c r="O21" s="15">
        <f>IF(RIGHT($P$8,5)="Ranni",Settings!$C13,Settings!$D13)</f>
        <v>18</v>
      </c>
      <c r="P21" s="12">
        <f>SUMIFS(HennAuto218[Pocet],HennAuto218[ID_Smeny],$P$8,HennAuto218[Interval],O21)</f>
        <v>0</v>
      </c>
    </row>
    <row r="22" spans="4:16" ht="19.8" thickBot="1">
      <c r="D22" s="26" t="s">
        <v>27</v>
      </c>
      <c r="E22" s="27"/>
      <c r="F22" s="28">
        <f>SUM(F10:F21)</f>
        <v>5</v>
      </c>
      <c r="I22" s="26" t="s">
        <v>27</v>
      </c>
      <c r="J22" s="27"/>
      <c r="K22" s="28">
        <f>SUM(K10:K21)</f>
        <v>7</v>
      </c>
      <c r="N22" s="26" t="s">
        <v>27</v>
      </c>
      <c r="O22" s="27"/>
      <c r="P22" s="28">
        <f>SUM(P10:P21)</f>
        <v>6</v>
      </c>
    </row>
  </sheetData>
  <mergeCells count="3">
    <mergeCell ref="D8:D21"/>
    <mergeCell ref="I8:I21"/>
    <mergeCell ref="N8:N21"/>
  </mergeCells>
  <phoneticPr fontId="7" type="noConversion"/>
  <conditionalFormatting sqref="E10:F21">
    <cfRule type="expression" dxfId="18" priority="3">
      <formula>MOD(ROW(),2)=0</formula>
    </cfRule>
  </conditionalFormatting>
  <conditionalFormatting sqref="J10:K21">
    <cfRule type="expression" dxfId="17" priority="2">
      <formula>MOD(ROW(),2)=0</formula>
    </cfRule>
  </conditionalFormatting>
  <conditionalFormatting sqref="O10:P21">
    <cfRule type="expression" dxfId="16" priority="1">
      <formula>MOD(ROW(),2)=0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2" r:id="rId4" name="Button 28">
              <controlPr defaultSize="0" print="0" autoFill="0" autoPict="0" macro="[0]!RefreshDashboard.RefreshDashboard">
                <anchor moveWithCells="1" siz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64779CD-705B-4527-8108-FCD55A815868}">
          <x14:formula1>
            <xm:f>Settings!$P$2:$P$6</xm:f>
          </x14:formula1>
          <xm:sqref>F8</xm:sqref>
        </x14:dataValidation>
        <x14:dataValidation type="list" showInputMessage="1" showErrorMessage="1" xr:uid="{E3B78438-BB18-4FE2-879C-43447FA72638}">
          <x14:formula1>
            <xm:f>Settings!$Q$2:$Q$6</xm:f>
          </x14:formula1>
          <xm:sqref>K8</xm:sqref>
        </x14:dataValidation>
        <x14:dataValidation type="list" showInputMessage="1" showErrorMessage="1" xr:uid="{BC4A159F-00BF-44A5-A034-1A5450460007}">
          <x14:formula1>
            <xm:f>Settings!$R$2:$R$6</xm:f>
          </x14:formula1>
          <xm:sqref>P8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4003-650C-42F7-9B65-C4063C2DF3D4}">
  <sheetPr codeName="Sheet2"/>
  <dimension ref="A1:R13"/>
  <sheetViews>
    <sheetView topLeftCell="B1" workbookViewId="0">
      <selection activeCell="I5" sqref="I5"/>
    </sheetView>
  </sheetViews>
  <sheetFormatPr defaultRowHeight="14.4"/>
  <cols>
    <col min="1" max="2" width="16.5546875" bestFit="1" customWidth="1"/>
    <col min="3" max="3" width="12.21875" bestFit="1" customWidth="1"/>
    <col min="4" max="4" width="12.77734375" bestFit="1" customWidth="1"/>
    <col min="6" max="6" width="14" bestFit="1" customWidth="1"/>
    <col min="8" max="8" width="10.44140625" customWidth="1"/>
    <col min="9" max="9" width="13.6640625" customWidth="1"/>
    <col min="10" max="10" width="14.77734375" bestFit="1" customWidth="1"/>
    <col min="11" max="11" width="14.77734375" customWidth="1"/>
    <col min="12" max="12" width="8.5546875" customWidth="1"/>
    <col min="16" max="16" width="18.109375" bestFit="1" customWidth="1"/>
    <col min="17" max="18" width="15.44140625" bestFit="1" customWidth="1"/>
  </cols>
  <sheetData>
    <row r="1" spans="1:18">
      <c r="A1" s="3" t="s">
        <v>1</v>
      </c>
      <c r="B1" s="3" t="s">
        <v>15</v>
      </c>
      <c r="C1" s="3" t="s">
        <v>7</v>
      </c>
      <c r="D1" s="3" t="s">
        <v>8</v>
      </c>
      <c r="F1" s="3"/>
      <c r="H1" s="3" t="s">
        <v>9</v>
      </c>
      <c r="I1" s="3" t="s">
        <v>10</v>
      </c>
      <c r="J1" s="3" t="s">
        <v>11</v>
      </c>
      <c r="K1" s="3" t="s">
        <v>29</v>
      </c>
      <c r="L1" s="5" t="s">
        <v>16</v>
      </c>
      <c r="P1" t="s">
        <v>28</v>
      </c>
      <c r="Q1" t="s">
        <v>30</v>
      </c>
      <c r="R1" t="s">
        <v>31</v>
      </c>
    </row>
    <row r="2" spans="1:18">
      <c r="A2" t="s">
        <v>0</v>
      </c>
      <c r="B2" t="s">
        <v>6</v>
      </c>
      <c r="C2" s="2">
        <v>7</v>
      </c>
      <c r="D2" s="2">
        <v>19</v>
      </c>
      <c r="H2" s="4" t="s">
        <v>12</v>
      </c>
      <c r="I2" s="4" t="s">
        <v>38</v>
      </c>
      <c r="J2" s="4" t="s">
        <v>32</v>
      </c>
      <c r="K2" s="4" t="s">
        <v>33</v>
      </c>
      <c r="L2" s="4" t="b">
        <v>1</v>
      </c>
      <c r="P2" t="str" cm="1">
        <f t="array" ref="P2:P4">_xlfn._xlws.SORT(_xlfn.UNIQUE(Junker15[ID_Smeny]))</f>
        <v>13.09.26_Nocni</v>
      </c>
      <c r="Q2" t="str" cm="1">
        <f t="array" ref="Q2:Q3">_xlfn._xlws.SORT(_xlfn.UNIQUE(Prawema213[ID_Smeny]))</f>
        <v>13.09.26_Nocni</v>
      </c>
      <c r="R2" t="str" cm="1">
        <f t="array" ref="R2:R3">_xlfn._xlws.SORT(_xlfn.UNIQUE(HennAuto218[ID_Smeny]))</f>
        <v>14.09.26_Nocni</v>
      </c>
    </row>
    <row r="3" spans="1:18">
      <c r="A3" t="s">
        <v>2</v>
      </c>
      <c r="B3" s="1">
        <v>0.25</v>
      </c>
      <c r="C3" s="2">
        <v>8</v>
      </c>
      <c r="D3" s="2">
        <v>20</v>
      </c>
      <c r="H3" s="4" t="s">
        <v>13</v>
      </c>
      <c r="I3" s="4" t="s">
        <v>39</v>
      </c>
      <c r="J3" s="4" t="s">
        <v>36</v>
      </c>
      <c r="K3" s="4" t="s">
        <v>34</v>
      </c>
      <c r="L3" s="4" t="b">
        <v>1</v>
      </c>
      <c r="P3" t="str">
        <v>14.09.26_Nocni</v>
      </c>
      <c r="Q3" t="str">
        <v>14.09.26_Nocni</v>
      </c>
      <c r="R3" t="str">
        <v>14.09.26_Ranni</v>
      </c>
    </row>
    <row r="4" spans="1:18">
      <c r="A4" t="s">
        <v>3</v>
      </c>
      <c r="B4" s="1">
        <v>0.75</v>
      </c>
      <c r="C4" s="2">
        <v>9</v>
      </c>
      <c r="D4" s="2">
        <v>21</v>
      </c>
      <c r="H4" s="4" t="s">
        <v>14</v>
      </c>
      <c r="I4" s="4" t="s">
        <v>40</v>
      </c>
      <c r="J4" s="4" t="s">
        <v>37</v>
      </c>
      <c r="K4" s="4" t="s">
        <v>35</v>
      </c>
      <c r="L4" s="4" t="b">
        <v>1</v>
      </c>
      <c r="P4" t="str">
        <v>14.09.26_Ranni</v>
      </c>
    </row>
    <row r="5" spans="1:18">
      <c r="A5" t="s">
        <v>4</v>
      </c>
      <c r="B5" s="1">
        <v>0.75</v>
      </c>
      <c r="C5" s="2">
        <v>10</v>
      </c>
      <c r="D5" s="2">
        <v>22</v>
      </c>
    </row>
    <row r="6" spans="1:18">
      <c r="A6" t="s">
        <v>5</v>
      </c>
      <c r="B6" s="1">
        <v>0.25</v>
      </c>
      <c r="C6" s="2">
        <v>11</v>
      </c>
      <c r="D6" s="2">
        <v>23</v>
      </c>
    </row>
    <row r="7" spans="1:18">
      <c r="C7" s="2">
        <v>12</v>
      </c>
      <c r="D7" s="2">
        <v>0</v>
      </c>
    </row>
    <row r="8" spans="1:18">
      <c r="C8" s="2">
        <v>13</v>
      </c>
      <c r="D8" s="2">
        <v>1</v>
      </c>
    </row>
    <row r="9" spans="1:18">
      <c r="C9" s="2">
        <v>14</v>
      </c>
      <c r="D9" s="2">
        <v>2</v>
      </c>
    </row>
    <row r="10" spans="1:18">
      <c r="C10" s="2">
        <v>15</v>
      </c>
      <c r="D10" s="2">
        <v>3</v>
      </c>
    </row>
    <row r="11" spans="1:18">
      <c r="C11" s="2">
        <v>16</v>
      </c>
      <c r="D11" s="2">
        <v>4</v>
      </c>
    </row>
    <row r="12" spans="1:18">
      <c r="C12" s="2">
        <v>17</v>
      </c>
      <c r="D12" s="2">
        <v>5</v>
      </c>
    </row>
    <row r="13" spans="1:18">
      <c r="C13" s="2">
        <v>18</v>
      </c>
      <c r="D13" s="2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2E87-2842-4C1C-87D8-AA21A50C5F51}">
  <sheetPr codeName="Sheet3"/>
  <dimension ref="A1:E9"/>
  <sheetViews>
    <sheetView workbookViewId="0">
      <selection activeCell="C30" sqref="C30"/>
    </sheetView>
  </sheetViews>
  <sheetFormatPr defaultRowHeight="14.4"/>
  <cols>
    <col min="1" max="1" width="14" bestFit="1" customWidth="1"/>
    <col min="2" max="2" width="14.6640625" bestFit="1" customWidth="1"/>
    <col min="3" max="3" width="9" bestFit="1" customWidth="1"/>
    <col min="4" max="4" width="9.6640625" bestFit="1" customWidth="1"/>
    <col min="5" max="5" width="8" customWidth="1"/>
  </cols>
  <sheetData>
    <row r="1" spans="1:5">
      <c r="A1" t="s">
        <v>23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7" t="s">
        <v>24</v>
      </c>
      <c r="B2" s="6">
        <v>46278</v>
      </c>
      <c r="C2" s="7" t="s">
        <v>21</v>
      </c>
      <c r="D2">
        <v>1</v>
      </c>
      <c r="E2">
        <v>7</v>
      </c>
    </row>
    <row r="3" spans="1:5">
      <c r="A3" s="7" t="s">
        <v>25</v>
      </c>
      <c r="B3" s="6">
        <v>46279</v>
      </c>
      <c r="C3" s="7" t="s">
        <v>22</v>
      </c>
      <c r="D3">
        <v>7</v>
      </c>
      <c r="E3">
        <v>1</v>
      </c>
    </row>
    <row r="4" spans="1:5">
      <c r="A4" s="7" t="s">
        <v>25</v>
      </c>
      <c r="B4" s="6">
        <v>46279</v>
      </c>
      <c r="C4" s="7" t="s">
        <v>22</v>
      </c>
      <c r="D4">
        <v>8</v>
      </c>
      <c r="E4">
        <v>1</v>
      </c>
    </row>
    <row r="5" spans="1:5">
      <c r="A5" s="7" t="s">
        <v>25</v>
      </c>
      <c r="B5" s="6">
        <v>46279</v>
      </c>
      <c r="C5" s="7" t="s">
        <v>22</v>
      </c>
      <c r="D5">
        <v>11</v>
      </c>
      <c r="E5">
        <v>1</v>
      </c>
    </row>
    <row r="6" spans="1:5">
      <c r="A6" s="7" t="s">
        <v>25</v>
      </c>
      <c r="B6" s="6">
        <v>46279</v>
      </c>
      <c r="C6" s="7" t="s">
        <v>22</v>
      </c>
      <c r="D6">
        <v>14</v>
      </c>
      <c r="E6">
        <v>1</v>
      </c>
    </row>
    <row r="7" spans="1:5">
      <c r="A7" s="7" t="s">
        <v>25</v>
      </c>
      <c r="B7" s="6">
        <v>46279</v>
      </c>
      <c r="C7" s="7" t="s">
        <v>22</v>
      </c>
      <c r="D7">
        <v>15</v>
      </c>
      <c r="E7">
        <v>1</v>
      </c>
    </row>
    <row r="8" spans="1:5">
      <c r="A8" s="7" t="s">
        <v>25</v>
      </c>
      <c r="B8" s="6">
        <v>46279</v>
      </c>
      <c r="C8" s="7" t="s">
        <v>22</v>
      </c>
      <c r="D8">
        <v>16</v>
      </c>
      <c r="E8">
        <v>1</v>
      </c>
    </row>
    <row r="9" spans="1:5">
      <c r="A9" s="7" t="s">
        <v>26</v>
      </c>
      <c r="B9" s="6">
        <v>46279</v>
      </c>
      <c r="C9" s="7" t="s">
        <v>21</v>
      </c>
      <c r="D9">
        <v>21</v>
      </c>
      <c r="E9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8181-607C-4C0F-8B99-262FC3B9D15E}">
  <sheetPr codeName="Sheet4"/>
  <dimension ref="A1:E3"/>
  <sheetViews>
    <sheetView workbookViewId="0">
      <selection sqref="A1:E9"/>
    </sheetView>
  </sheetViews>
  <sheetFormatPr defaultRowHeight="14.4"/>
  <cols>
    <col min="1" max="1" width="14" bestFit="1" customWidth="1"/>
    <col min="2" max="2" width="14.6640625" bestFit="1" customWidth="1"/>
    <col min="3" max="3" width="9" bestFit="1" customWidth="1"/>
    <col min="4" max="4" width="9.6640625" bestFit="1" customWidth="1"/>
    <col min="5" max="5" width="8" bestFit="1" customWidth="1"/>
  </cols>
  <sheetData>
    <row r="1" spans="1:5">
      <c r="A1" t="s">
        <v>23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7" t="s">
        <v>24</v>
      </c>
      <c r="B2" s="6">
        <v>46278</v>
      </c>
      <c r="C2" s="7" t="s">
        <v>21</v>
      </c>
      <c r="D2">
        <v>1</v>
      </c>
      <c r="E2">
        <v>7</v>
      </c>
    </row>
    <row r="3" spans="1:5">
      <c r="A3" s="7" t="s">
        <v>26</v>
      </c>
      <c r="B3" s="6">
        <v>46279</v>
      </c>
      <c r="C3" s="7" t="s">
        <v>21</v>
      </c>
      <c r="D3">
        <v>21</v>
      </c>
      <c r="E3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A3A6-A5EB-460E-B0FA-53CC00E8B8E0}">
  <sheetPr codeName="Sheet5"/>
  <dimension ref="A1:E8"/>
  <sheetViews>
    <sheetView workbookViewId="0"/>
  </sheetViews>
  <sheetFormatPr defaultRowHeight="14.4"/>
  <cols>
    <col min="1" max="1" width="14" bestFit="1" customWidth="1"/>
    <col min="2" max="2" width="14.6640625" bestFit="1" customWidth="1"/>
    <col min="3" max="3" width="9" bestFit="1" customWidth="1"/>
    <col min="4" max="4" width="9.6640625" bestFit="1" customWidth="1"/>
    <col min="5" max="5" width="8" bestFit="1" customWidth="1"/>
  </cols>
  <sheetData>
    <row r="1" spans="1:5">
      <c r="A1" t="s">
        <v>23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7" t="s">
        <v>25</v>
      </c>
      <c r="B2" s="6">
        <v>46279</v>
      </c>
      <c r="C2" s="7" t="s">
        <v>22</v>
      </c>
      <c r="D2">
        <v>7</v>
      </c>
      <c r="E2">
        <v>1</v>
      </c>
    </row>
    <row r="3" spans="1:5">
      <c r="A3" s="7" t="s">
        <v>25</v>
      </c>
      <c r="B3" s="6">
        <v>46279</v>
      </c>
      <c r="C3" s="7" t="s">
        <v>22</v>
      </c>
      <c r="D3">
        <v>8</v>
      </c>
      <c r="E3">
        <v>1</v>
      </c>
    </row>
    <row r="4" spans="1:5">
      <c r="A4" s="7" t="s">
        <v>25</v>
      </c>
      <c r="B4" s="6">
        <v>46279</v>
      </c>
      <c r="C4" s="7" t="s">
        <v>22</v>
      </c>
      <c r="D4">
        <v>11</v>
      </c>
      <c r="E4">
        <v>1</v>
      </c>
    </row>
    <row r="5" spans="1:5">
      <c r="A5" s="7" t="s">
        <v>25</v>
      </c>
      <c r="B5" s="6">
        <v>46279</v>
      </c>
      <c r="C5" s="7" t="s">
        <v>22</v>
      </c>
      <c r="D5">
        <v>14</v>
      </c>
      <c r="E5">
        <v>1</v>
      </c>
    </row>
    <row r="6" spans="1:5">
      <c r="A6" s="7" t="s">
        <v>25</v>
      </c>
      <c r="B6" s="6">
        <v>46279</v>
      </c>
      <c r="C6" s="7" t="s">
        <v>22</v>
      </c>
      <c r="D6">
        <v>15</v>
      </c>
      <c r="E6">
        <v>1</v>
      </c>
    </row>
    <row r="7" spans="1:5">
      <c r="A7" s="7" t="s">
        <v>25</v>
      </c>
      <c r="B7" s="6">
        <v>46279</v>
      </c>
      <c r="C7" s="7" t="s">
        <v>22</v>
      </c>
      <c r="D7">
        <v>16</v>
      </c>
      <c r="E7">
        <v>1</v>
      </c>
    </row>
    <row r="8" spans="1:5">
      <c r="A8" s="7" t="s">
        <v>26</v>
      </c>
      <c r="B8" s="6">
        <v>46279</v>
      </c>
      <c r="C8" s="7" t="s">
        <v>21</v>
      </c>
      <c r="D8">
        <v>21</v>
      </c>
      <c r="E8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A7991-E130-4FBE-8F3E-1EC52BE16D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Settings</vt:lpstr>
      <vt:lpstr>DataJunker15</vt:lpstr>
      <vt:lpstr>DataPrawema213</vt:lpstr>
      <vt:lpstr>DataHennAuto218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aboba</dc:creator>
  <cp:lastModifiedBy>aboba</cp:lastModifiedBy>
  <dcterms:created xsi:type="dcterms:W3CDTF">2026-09-14T16:31:06Z</dcterms:created>
  <dcterms:modified xsi:type="dcterms:W3CDTF">2026-09-15T21:30:04Z</dcterms:modified>
</cp:coreProperties>
</file>